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13_ncr:1_{5AD4027A-ABA5-43AC-AA02-9FE26DE52664}" xr6:coauthVersionLast="47" xr6:coauthVersionMax="47" xr10:uidLastSave="{00000000-0000-0000-0000-000000000000}"/>
  <bookViews>
    <workbookView xWindow="-108" yWindow="-108" windowWidth="23256" windowHeight="12456" activeTab="1" xr2:uid="{6180B61E-8298-43B2-AEA6-169410FD80C6}"/>
  </bookViews>
  <sheets>
    <sheet name="Sheet1" sheetId="1" r:id="rId1"/>
    <sheet name="밀키트전골곱창부자재정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41" i="2" s="1"/>
  <c r="C6" i="2"/>
  <c r="F14" i="1"/>
  <c r="B10" i="1"/>
  <c r="G4" i="1"/>
  <c r="D42" i="2" l="1"/>
  <c r="D43" i="2" s="1"/>
  <c r="K17" i="1"/>
  <c r="G13" i="1"/>
  <c r="F13" i="1" s="1"/>
  <c r="F15" i="1" s="1"/>
  <c r="F16" i="1" s="1"/>
  <c r="J23" i="1"/>
  <c r="M22" i="1" s="1"/>
  <c r="K23" i="1" l="1"/>
  <c r="L22" i="1"/>
  <c r="L23" i="1"/>
  <c r="L24" i="1" s="1"/>
  <c r="M23" i="1"/>
  <c r="K22" i="1"/>
  <c r="K24" i="1"/>
  <c r="M24" i="1"/>
</calcChain>
</file>

<file path=xl/sharedStrings.xml><?xml version="1.0" encoding="utf-8"?>
<sst xmlns="http://schemas.openxmlformats.org/spreadsheetml/2006/main" count="106" uniqueCount="91">
  <si>
    <t>깍두기</t>
    <phoneticPr fontId="2" type="noConversion"/>
  </si>
  <si>
    <t>무우</t>
    <phoneticPr fontId="2" type="noConversion"/>
  </si>
  <si>
    <t>고춧가루</t>
    <phoneticPr fontId="2" type="noConversion"/>
  </si>
  <si>
    <t>양파</t>
    <phoneticPr fontId="2" type="noConversion"/>
  </si>
  <si>
    <t>공임</t>
    <phoneticPr fontId="2" type="noConversion"/>
  </si>
  <si>
    <t>배송</t>
    <phoneticPr fontId="2" type="noConversion"/>
  </si>
  <si>
    <t>전골곱창</t>
    <phoneticPr fontId="2" type="noConversion"/>
  </si>
  <si>
    <t>소스</t>
    <phoneticPr fontId="2" type="noConversion"/>
  </si>
  <si>
    <t>택배</t>
    <phoneticPr fontId="2" type="noConversion"/>
  </si>
  <si>
    <t>곱창150</t>
    <phoneticPr fontId="2" type="noConversion"/>
  </si>
  <si>
    <t>깐양80</t>
    <phoneticPr fontId="2" type="noConversion"/>
  </si>
  <si>
    <t>아이스박스</t>
    <phoneticPr fontId="2" type="noConversion"/>
  </si>
  <si>
    <t>아이스팩</t>
    <phoneticPr fontId="2" type="noConversion"/>
  </si>
  <si>
    <t>내장탕</t>
    <phoneticPr fontId="2" type="noConversion"/>
  </si>
  <si>
    <t>곱창60</t>
    <phoneticPr fontId="2" type="noConversion"/>
  </si>
  <si>
    <t>우거지</t>
    <phoneticPr fontId="2" type="noConversion"/>
  </si>
  <si>
    <t>양념</t>
    <phoneticPr fontId="2" type="noConversion"/>
  </si>
  <si>
    <t>마늘</t>
    <phoneticPr fontId="2" type="noConversion"/>
  </si>
  <si>
    <t>미원</t>
    <phoneticPr fontId="2" type="noConversion"/>
  </si>
  <si>
    <t>까나리</t>
    <phoneticPr fontId="2" type="noConversion"/>
  </si>
  <si>
    <t>찹쌀풀</t>
    <phoneticPr fontId="2" type="noConversion"/>
  </si>
  <si>
    <t>굵은소금</t>
    <phoneticPr fontId="2" type="noConversion"/>
  </si>
  <si>
    <t>설탕</t>
    <phoneticPr fontId="2" type="noConversion"/>
  </si>
  <si>
    <t>우동</t>
    <phoneticPr fontId="2" type="noConversion"/>
  </si>
  <si>
    <t>팽이</t>
    <phoneticPr fontId="2" type="noConversion"/>
  </si>
  <si>
    <t>청양고추</t>
    <phoneticPr fontId="2" type="noConversion"/>
  </si>
  <si>
    <t>깻잎</t>
    <phoneticPr fontId="2" type="noConversion"/>
  </si>
  <si>
    <t>배추</t>
    <phoneticPr fontId="2" type="noConversion"/>
  </si>
  <si>
    <t>대파</t>
    <phoneticPr fontId="2" type="noConversion"/>
  </si>
  <si>
    <t>팽이버섯</t>
    <phoneticPr fontId="2" type="noConversion"/>
  </si>
  <si>
    <t>스티커</t>
    <phoneticPr fontId="2" type="noConversion"/>
  </si>
  <si>
    <t>스치로폼박스</t>
    <phoneticPr fontId="2" type="noConversion"/>
  </si>
  <si>
    <t>박스테이프</t>
    <phoneticPr fontId="2" type="noConversion"/>
  </si>
  <si>
    <t>번호</t>
    <phoneticPr fontId="2" type="noConversion"/>
  </si>
  <si>
    <t>품목</t>
    <phoneticPr fontId="2" type="noConversion"/>
  </si>
  <si>
    <t>깐양</t>
    <phoneticPr fontId="2" type="noConversion"/>
  </si>
  <si>
    <t>1개</t>
    <phoneticPr fontId="2" type="noConversion"/>
  </si>
  <si>
    <t>단가(원)</t>
    <phoneticPr fontId="2" type="noConversion"/>
  </si>
  <si>
    <t>350g</t>
    <phoneticPr fontId="2" type="noConversion"/>
  </si>
  <si>
    <t>전골보냉백</t>
    <phoneticPr fontId="2" type="noConversion"/>
  </si>
  <si>
    <t>170g</t>
    <phoneticPr fontId="2" type="noConversion"/>
  </si>
  <si>
    <t>전골소스양념</t>
    <phoneticPr fontId="2" type="noConversion"/>
  </si>
  <si>
    <t>소스용기</t>
    <phoneticPr fontId="2" type="noConversion"/>
  </si>
  <si>
    <t>진공포장비닐</t>
    <phoneticPr fontId="2" type="noConversion"/>
  </si>
  <si>
    <t>알배기</t>
    <phoneticPr fontId="2" type="noConversion"/>
  </si>
  <si>
    <t>인건비</t>
    <phoneticPr fontId="2" type="noConversion"/>
  </si>
  <si>
    <t>중량/g</t>
    <phoneticPr fontId="2" type="noConversion"/>
  </si>
  <si>
    <t>당면</t>
    <phoneticPr fontId="2" type="noConversion"/>
  </si>
  <si>
    <t>1box</t>
    <phoneticPr fontId="2" type="noConversion"/>
  </si>
  <si>
    <t>1ea</t>
    <phoneticPr fontId="2" type="noConversion"/>
  </si>
  <si>
    <t>2ea</t>
    <phoneticPr fontId="2" type="noConversion"/>
  </si>
  <si>
    <t>소비자판매가</t>
    <phoneticPr fontId="2" type="noConversion"/>
  </si>
  <si>
    <t>제조원가</t>
    <phoneticPr fontId="2" type="noConversion"/>
  </si>
  <si>
    <t>월판매수량</t>
    <phoneticPr fontId="2" type="noConversion"/>
  </si>
  <si>
    <t>월매출</t>
    <phoneticPr fontId="2" type="noConversion"/>
  </si>
  <si>
    <t>택배비</t>
    <phoneticPr fontId="2" type="noConversion"/>
  </si>
  <si>
    <t>고객부담</t>
    <phoneticPr fontId="2" type="noConversion"/>
  </si>
  <si>
    <t>차액발생시 업체부담</t>
    <phoneticPr fontId="2" type="noConversion"/>
  </si>
  <si>
    <t>채널수수료</t>
    <phoneticPr fontId="2" type="noConversion"/>
  </si>
  <si>
    <t>관리비</t>
    <phoneticPr fontId="2" type="noConversion"/>
  </si>
  <si>
    <t>광고진행</t>
    <phoneticPr fontId="2" type="noConversion"/>
  </si>
  <si>
    <t>리뷰</t>
    <phoneticPr fontId="2" type="noConversion"/>
  </si>
  <si>
    <t>고객CRM</t>
    <phoneticPr fontId="2" type="noConversion"/>
  </si>
  <si>
    <t>거래구조</t>
    <phoneticPr fontId="2" type="noConversion"/>
  </si>
  <si>
    <t>하루최대생산량</t>
    <phoneticPr fontId="2" type="noConversion"/>
  </si>
  <si>
    <t>생산량확대여부</t>
    <phoneticPr fontId="2" type="noConversion"/>
  </si>
  <si>
    <t>가능</t>
    <phoneticPr fontId="2" type="noConversion"/>
  </si>
  <si>
    <t>제품라인업</t>
    <phoneticPr fontId="2" type="noConversion"/>
  </si>
  <si>
    <t>곱창구이</t>
    <phoneticPr fontId="2" type="noConversion"/>
  </si>
  <si>
    <t>막창구이</t>
    <phoneticPr fontId="2" type="noConversion"/>
  </si>
  <si>
    <t>대창구이</t>
    <phoneticPr fontId="2" type="noConversion"/>
  </si>
  <si>
    <t>곱창전골</t>
    <phoneticPr fontId="2" type="noConversion"/>
  </si>
  <si>
    <t>볶음밥키트</t>
    <phoneticPr fontId="2" type="noConversion"/>
  </si>
  <si>
    <t>대창기름떡볶이</t>
    <phoneticPr fontId="2" type="noConversion"/>
  </si>
  <si>
    <t>마라큐브</t>
    <phoneticPr fontId="2" type="noConversion"/>
  </si>
  <si>
    <t>옵션상품</t>
    <phoneticPr fontId="2" type="noConversion"/>
  </si>
  <si>
    <t>전골곱창추가</t>
    <phoneticPr fontId="2" type="noConversion"/>
  </si>
  <si>
    <t>권장판매가</t>
    <phoneticPr fontId="2" type="noConversion"/>
  </si>
  <si>
    <t>네이버스마트스토어 기본수수료 3%전후</t>
    <phoneticPr fontId="2" type="noConversion"/>
  </si>
  <si>
    <t>없음</t>
    <phoneticPr fontId="2" type="noConversion"/>
  </si>
  <si>
    <t>별점4.97</t>
    <phoneticPr fontId="2" type="noConversion"/>
  </si>
  <si>
    <t>30개</t>
    <phoneticPr fontId="2" type="noConversion"/>
  </si>
  <si>
    <t>찜20개</t>
    <phoneticPr fontId="2" type="noConversion"/>
  </si>
  <si>
    <t>합계</t>
    <phoneticPr fontId="2" type="noConversion"/>
  </si>
  <si>
    <t>마진30%</t>
    <phoneticPr fontId="2" type="noConversion"/>
  </si>
  <si>
    <t>원</t>
    <phoneticPr fontId="2" type="noConversion"/>
  </si>
  <si>
    <t>구이1 전골3</t>
    <phoneticPr fontId="2" type="noConversion"/>
  </si>
  <si>
    <t>마진30%합계</t>
    <phoneticPr fontId="2" type="noConversion"/>
  </si>
  <si>
    <t>현재인원으로진행</t>
    <phoneticPr fontId="2" type="noConversion"/>
  </si>
  <si>
    <t>판매예정상품</t>
    <phoneticPr fontId="2" type="noConversion"/>
  </si>
  <si>
    <t>전골밀키트 진행 후 인력 및 설비 충원하여 구이류 진행가능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</si>
</sst>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41" fontId="0" fillId="0" borderId="0" xfId="1" applyFont="1" applyAlignment="1">
      <alignment horizontal="right" vertical="center"/>
    </xf>
    <xf numFmtId="41" fontId="0" fillId="0" borderId="0" xfId="1" applyFont="1" applyAlignment="1">
      <alignment horizontal="left" vertical="center"/>
    </xf>
    <xf numFmtId="9" fontId="0" fillId="0" borderId="0" xfId="2" applyFont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6F39-C4B7-4AE8-9C58-C3296150AFFE}">
  <dimension ref="B2:Q24"/>
  <sheetViews>
    <sheetView workbookViewId="0">
      <selection activeCell="J3" sqref="J3:K17"/>
    </sheetView>
  </sheetViews>
  <sheetFormatPr defaultRowHeight="17.399999999999999" x14ac:dyDescent="0.4"/>
  <cols>
    <col min="6" max="6" width="10.8984375" bestFit="1" customWidth="1"/>
    <col min="7" max="7" width="9.3984375" style="1" bestFit="1" customWidth="1"/>
    <col min="10" max="10" width="9.09765625" bestFit="1" customWidth="1"/>
    <col min="11" max="13" width="11.8984375" bestFit="1" customWidth="1"/>
  </cols>
  <sheetData>
    <row r="2" spans="2:17" x14ac:dyDescent="0.4">
      <c r="F2">
        <v>2000</v>
      </c>
    </row>
    <row r="3" spans="2:17" x14ac:dyDescent="0.4">
      <c r="E3" t="s">
        <v>0</v>
      </c>
      <c r="F3">
        <v>90</v>
      </c>
      <c r="J3" t="s">
        <v>6</v>
      </c>
      <c r="M3" t="s">
        <v>13</v>
      </c>
    </row>
    <row r="4" spans="2:17" x14ac:dyDescent="0.4">
      <c r="E4" t="s">
        <v>1</v>
      </c>
      <c r="F4">
        <v>8</v>
      </c>
      <c r="G4" s="1">
        <f>20000*F4</f>
        <v>160000</v>
      </c>
      <c r="J4" t="s">
        <v>9</v>
      </c>
      <c r="K4">
        <v>4000</v>
      </c>
      <c r="M4" t="s">
        <v>14</v>
      </c>
    </row>
    <row r="5" spans="2:17" x14ac:dyDescent="0.4">
      <c r="E5" t="s">
        <v>2</v>
      </c>
      <c r="F5">
        <v>2.5</v>
      </c>
      <c r="G5" s="1">
        <v>25000</v>
      </c>
      <c r="J5" t="s">
        <v>10</v>
      </c>
      <c r="K5">
        <v>820</v>
      </c>
      <c r="M5" t="s">
        <v>10</v>
      </c>
    </row>
    <row r="6" spans="2:17" x14ac:dyDescent="0.4">
      <c r="E6" t="s">
        <v>3</v>
      </c>
      <c r="F6">
        <v>3</v>
      </c>
      <c r="G6" s="1">
        <v>4000</v>
      </c>
      <c r="M6" t="s">
        <v>15</v>
      </c>
    </row>
    <row r="7" spans="2:17" x14ac:dyDescent="0.4">
      <c r="E7" t="s">
        <v>17</v>
      </c>
      <c r="F7">
        <v>2</v>
      </c>
      <c r="G7" s="1">
        <v>12000</v>
      </c>
      <c r="J7" t="s">
        <v>7</v>
      </c>
      <c r="K7">
        <v>600</v>
      </c>
      <c r="M7" t="s">
        <v>16</v>
      </c>
    </row>
    <row r="8" spans="2:17" x14ac:dyDescent="0.4">
      <c r="E8" t="s">
        <v>18</v>
      </c>
      <c r="F8">
        <v>0.2</v>
      </c>
      <c r="G8" s="1">
        <v>2400</v>
      </c>
      <c r="J8" t="s">
        <v>8</v>
      </c>
      <c r="K8">
        <v>0</v>
      </c>
    </row>
    <row r="9" spans="2:17" x14ac:dyDescent="0.4">
      <c r="E9" t="s">
        <v>19</v>
      </c>
      <c r="F9">
        <v>0.5</v>
      </c>
      <c r="G9" s="1">
        <v>1300</v>
      </c>
      <c r="J9" t="s">
        <v>16</v>
      </c>
      <c r="K9">
        <v>1500</v>
      </c>
    </row>
    <row r="10" spans="2:17" x14ac:dyDescent="0.4">
      <c r="B10">
        <f>320*2121</f>
        <v>678720</v>
      </c>
      <c r="E10" t="s">
        <v>20</v>
      </c>
      <c r="G10" s="1">
        <v>3000</v>
      </c>
      <c r="J10" t="s">
        <v>11</v>
      </c>
      <c r="K10">
        <v>1200</v>
      </c>
    </row>
    <row r="11" spans="2:17" x14ac:dyDescent="0.4">
      <c r="E11" t="s">
        <v>21</v>
      </c>
      <c r="F11">
        <v>2</v>
      </c>
      <c r="G11" s="1">
        <v>3500</v>
      </c>
      <c r="J11" t="s">
        <v>12</v>
      </c>
      <c r="K11">
        <v>1500</v>
      </c>
    </row>
    <row r="12" spans="2:17" x14ac:dyDescent="0.4">
      <c r="E12" t="s">
        <v>22</v>
      </c>
      <c r="F12">
        <v>0.5</v>
      </c>
      <c r="G12" s="1">
        <v>900</v>
      </c>
      <c r="J12" t="s">
        <v>23</v>
      </c>
      <c r="K12">
        <v>790</v>
      </c>
    </row>
    <row r="13" spans="2:17" x14ac:dyDescent="0.4">
      <c r="F13" s="2">
        <f>G13*20</f>
        <v>4242000</v>
      </c>
      <c r="G13" s="1">
        <f>SUM(G4:G12)</f>
        <v>212100</v>
      </c>
      <c r="J13" t="s">
        <v>24</v>
      </c>
      <c r="K13">
        <v>500</v>
      </c>
    </row>
    <row r="14" spans="2:17" x14ac:dyDescent="0.4">
      <c r="F14" s="2">
        <f>G14*20</f>
        <v>6820000</v>
      </c>
      <c r="G14" s="1">
        <v>341000</v>
      </c>
      <c r="J14" t="s">
        <v>25</v>
      </c>
      <c r="K14">
        <v>400</v>
      </c>
      <c r="N14" s="1"/>
      <c r="O14" s="1"/>
      <c r="P14" s="1"/>
      <c r="Q14" s="1"/>
    </row>
    <row r="15" spans="2:17" x14ac:dyDescent="0.4">
      <c r="F15" s="2">
        <f>F14-F13</f>
        <v>2578000</v>
      </c>
      <c r="J15" t="s">
        <v>26</v>
      </c>
      <c r="K15">
        <v>680</v>
      </c>
    </row>
    <row r="16" spans="2:17" x14ac:dyDescent="0.4">
      <c r="E16" t="s">
        <v>5</v>
      </c>
      <c r="F16" s="2">
        <f>F15-G16-G17</f>
        <v>1578000</v>
      </c>
      <c r="G16" s="1">
        <v>200000</v>
      </c>
      <c r="J16" t="s">
        <v>27</v>
      </c>
      <c r="K16">
        <v>900</v>
      </c>
    </row>
    <row r="17" spans="5:13" x14ac:dyDescent="0.4">
      <c r="E17" t="s">
        <v>4</v>
      </c>
      <c r="G17" s="1">
        <v>800000</v>
      </c>
      <c r="K17">
        <f>SUM(K4:K16)</f>
        <v>12890</v>
      </c>
    </row>
    <row r="21" spans="5:13" x14ac:dyDescent="0.4">
      <c r="K21">
        <v>23900</v>
      </c>
      <c r="L21">
        <v>25900</v>
      </c>
      <c r="M21">
        <v>29900</v>
      </c>
    </row>
    <row r="22" spans="5:13" x14ac:dyDescent="0.4">
      <c r="K22" s="2">
        <f>J23*19000</f>
        <v>28500000</v>
      </c>
      <c r="L22" s="2">
        <f>J23*19000</f>
        <v>28500000</v>
      </c>
      <c r="M22" s="2">
        <f>J23*19000</f>
        <v>28500000</v>
      </c>
    </row>
    <row r="23" spans="5:13" x14ac:dyDescent="0.4">
      <c r="J23" s="1">
        <f>50*30</f>
        <v>1500</v>
      </c>
      <c r="K23" s="1">
        <f>J23*23900</f>
        <v>35850000</v>
      </c>
      <c r="L23" s="1">
        <f>J23*25900</f>
        <v>38850000</v>
      </c>
      <c r="M23" s="1">
        <f>J23*29900</f>
        <v>44850000</v>
      </c>
    </row>
    <row r="24" spans="5:13" x14ac:dyDescent="0.4">
      <c r="K24" s="2">
        <f>K23-K22</f>
        <v>7350000</v>
      </c>
      <c r="L24" s="2">
        <f t="shared" ref="L24:M24" si="0">L23-L22</f>
        <v>10350000</v>
      </c>
      <c r="M24" s="2">
        <f t="shared" si="0"/>
        <v>16350000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D654-6CF9-454C-810E-BD07A5AA88CF}">
  <dimension ref="A2:F43"/>
  <sheetViews>
    <sheetView tabSelected="1" zoomScale="98" workbookViewId="0">
      <selection activeCell="C2" sqref="C2"/>
    </sheetView>
  </sheetViews>
  <sheetFormatPr defaultRowHeight="17.399999999999999" x14ac:dyDescent="0.4"/>
  <cols>
    <col min="1" max="1" width="9" style="1" bestFit="1" customWidth="1"/>
    <col min="2" max="2" width="18.19921875" style="1" bestFit="1" customWidth="1"/>
    <col min="3" max="3" width="12.09765625" style="3" customWidth="1"/>
    <col min="4" max="4" width="14.796875" style="1" customWidth="1"/>
    <col min="5" max="6" width="14.59765625" style="1" bestFit="1" customWidth="1"/>
    <col min="7" max="7" width="14.09765625" style="1" bestFit="1" customWidth="1"/>
    <col min="8" max="16384" width="8.796875" style="1"/>
  </cols>
  <sheetData>
    <row r="2" spans="2:6" x14ac:dyDescent="0.4">
      <c r="B2" s="4" t="s">
        <v>63</v>
      </c>
      <c r="C2" s="4"/>
      <c r="D2" s="4"/>
      <c r="E2" s="4"/>
      <c r="F2" s="4"/>
    </row>
    <row r="3" spans="2:6" x14ac:dyDescent="0.4">
      <c r="B3" s="4" t="s">
        <v>51</v>
      </c>
      <c r="C3" s="4">
        <v>31000</v>
      </c>
      <c r="D3" s="4" t="s">
        <v>77</v>
      </c>
      <c r="E3" s="4">
        <v>29000</v>
      </c>
      <c r="F3" s="4"/>
    </row>
    <row r="4" spans="2:6" x14ac:dyDescent="0.4">
      <c r="B4" s="4" t="s">
        <v>52</v>
      </c>
      <c r="C4" s="4">
        <v>13230</v>
      </c>
      <c r="D4" s="4"/>
      <c r="E4" s="4"/>
      <c r="F4" s="4"/>
    </row>
    <row r="5" spans="2:6" x14ac:dyDescent="0.4">
      <c r="B5" s="4" t="s">
        <v>53</v>
      </c>
      <c r="C5" s="4" t="s">
        <v>86</v>
      </c>
      <c r="D5" s="4"/>
      <c r="E5" s="4"/>
      <c r="F5" s="4"/>
    </row>
    <row r="6" spans="2:6" x14ac:dyDescent="0.4">
      <c r="B6" s="4" t="s">
        <v>54</v>
      </c>
      <c r="C6" s="4">
        <f>49000+90000</f>
        <v>139000</v>
      </c>
      <c r="D6" s="4" t="s">
        <v>85</v>
      </c>
      <c r="E6" s="4"/>
      <c r="F6" s="4"/>
    </row>
    <row r="7" spans="2:6" x14ac:dyDescent="0.4">
      <c r="B7" s="4" t="s">
        <v>55</v>
      </c>
      <c r="C7" s="4">
        <v>3500</v>
      </c>
      <c r="D7" s="4" t="s">
        <v>56</v>
      </c>
      <c r="E7" s="4" t="s">
        <v>57</v>
      </c>
      <c r="F7" s="4"/>
    </row>
    <row r="8" spans="2:6" x14ac:dyDescent="0.4">
      <c r="B8" s="4" t="s">
        <v>58</v>
      </c>
      <c r="C8" s="5">
        <v>0.03</v>
      </c>
      <c r="D8" s="4" t="s">
        <v>78</v>
      </c>
      <c r="E8" s="4"/>
      <c r="F8" s="4"/>
    </row>
    <row r="9" spans="2:6" x14ac:dyDescent="0.4">
      <c r="B9" s="4" t="s">
        <v>45</v>
      </c>
      <c r="C9" s="4" t="s">
        <v>88</v>
      </c>
      <c r="D9" s="4"/>
      <c r="E9" s="4"/>
      <c r="F9" s="4"/>
    </row>
    <row r="10" spans="2:6" x14ac:dyDescent="0.4">
      <c r="B10" s="4" t="s">
        <v>59</v>
      </c>
      <c r="C10" s="4" t="s">
        <v>88</v>
      </c>
      <c r="D10" s="4"/>
      <c r="E10" s="4"/>
      <c r="F10" s="4"/>
    </row>
    <row r="11" spans="2:6" x14ac:dyDescent="0.4">
      <c r="B11" s="4" t="s">
        <v>60</v>
      </c>
      <c r="C11" s="4" t="s">
        <v>79</v>
      </c>
      <c r="D11" s="4"/>
      <c r="E11" s="4"/>
      <c r="F11" s="4"/>
    </row>
    <row r="12" spans="2:6" x14ac:dyDescent="0.4">
      <c r="B12" s="4" t="s">
        <v>61</v>
      </c>
      <c r="C12" s="4" t="s">
        <v>81</v>
      </c>
      <c r="D12" s="4" t="s">
        <v>80</v>
      </c>
      <c r="E12" s="4" t="s">
        <v>82</v>
      </c>
      <c r="F12" s="4"/>
    </row>
    <row r="13" spans="2:6" x14ac:dyDescent="0.4">
      <c r="B13" s="4" t="s">
        <v>62</v>
      </c>
      <c r="C13" s="4" t="s">
        <v>79</v>
      </c>
      <c r="D13" s="4"/>
      <c r="E13" s="4"/>
      <c r="F13" s="4"/>
    </row>
    <row r="14" spans="2:6" x14ac:dyDescent="0.4">
      <c r="B14" s="4" t="s">
        <v>64</v>
      </c>
      <c r="C14" s="4">
        <v>200</v>
      </c>
      <c r="D14" s="4"/>
      <c r="E14" s="4"/>
      <c r="F14" s="4"/>
    </row>
    <row r="15" spans="2:6" x14ac:dyDescent="0.4">
      <c r="B15" s="4" t="s">
        <v>65</v>
      </c>
      <c r="C15" s="4" t="s">
        <v>66</v>
      </c>
      <c r="D15" s="4"/>
      <c r="E15" s="4"/>
      <c r="F15" s="4"/>
    </row>
    <row r="16" spans="2:6" x14ac:dyDescent="0.4">
      <c r="B16" s="4" t="s">
        <v>67</v>
      </c>
      <c r="C16" s="4" t="s">
        <v>71</v>
      </c>
      <c r="D16" s="4" t="s">
        <v>68</v>
      </c>
      <c r="E16" s="4" t="s">
        <v>69</v>
      </c>
      <c r="F16" s="4" t="s">
        <v>70</v>
      </c>
    </row>
    <row r="17" spans="1:6" x14ac:dyDescent="0.4">
      <c r="B17" s="4" t="s">
        <v>90</v>
      </c>
      <c r="C17" s="1"/>
      <c r="F17" s="4"/>
    </row>
    <row r="18" spans="1:6" x14ac:dyDescent="0.4">
      <c r="B18" s="4" t="s">
        <v>89</v>
      </c>
      <c r="C18" s="4" t="s">
        <v>72</v>
      </c>
      <c r="D18" s="4" t="s">
        <v>73</v>
      </c>
      <c r="E18" s="4" t="s">
        <v>74</v>
      </c>
    </row>
    <row r="19" spans="1:6" x14ac:dyDescent="0.4">
      <c r="B19" s="4" t="s">
        <v>75</v>
      </c>
      <c r="C19" s="4" t="s">
        <v>0</v>
      </c>
      <c r="D19" s="4" t="s">
        <v>76</v>
      </c>
      <c r="E19" s="4" t="s">
        <v>23</v>
      </c>
      <c r="F19" s="4" t="s">
        <v>47</v>
      </c>
    </row>
    <row r="21" spans="1:6" x14ac:dyDescent="0.4">
      <c r="A21" s="1" t="s">
        <v>33</v>
      </c>
      <c r="B21" s="1" t="s">
        <v>34</v>
      </c>
      <c r="C21" s="3" t="s">
        <v>46</v>
      </c>
      <c r="D21" s="1" t="s">
        <v>37</v>
      </c>
    </row>
    <row r="22" spans="1:6" x14ac:dyDescent="0.4">
      <c r="A22" s="1">
        <v>1</v>
      </c>
      <c r="B22" s="1" t="s">
        <v>6</v>
      </c>
      <c r="C22" s="3">
        <v>150</v>
      </c>
      <c r="D22" s="1">
        <v>4500</v>
      </c>
    </row>
    <row r="23" spans="1:6" x14ac:dyDescent="0.4">
      <c r="A23" s="1">
        <v>2</v>
      </c>
      <c r="B23" s="1" t="s">
        <v>35</v>
      </c>
      <c r="C23" s="3">
        <v>70</v>
      </c>
      <c r="D23" s="1">
        <f>800*0.7</f>
        <v>560</v>
      </c>
    </row>
    <row r="24" spans="1:6" x14ac:dyDescent="0.4">
      <c r="A24" s="1">
        <v>3</v>
      </c>
      <c r="B24" s="1" t="s">
        <v>44</v>
      </c>
      <c r="C24" s="3">
        <v>120</v>
      </c>
      <c r="D24" s="1">
        <v>200</v>
      </c>
    </row>
    <row r="25" spans="1:6" x14ac:dyDescent="0.4">
      <c r="A25" s="1">
        <v>4</v>
      </c>
      <c r="B25" s="1" t="s">
        <v>3</v>
      </c>
      <c r="C25" s="3">
        <v>80</v>
      </c>
      <c r="D25" s="1">
        <v>150</v>
      </c>
    </row>
    <row r="26" spans="1:6" x14ac:dyDescent="0.4">
      <c r="A26" s="1">
        <v>5</v>
      </c>
      <c r="B26" s="1" t="s">
        <v>28</v>
      </c>
      <c r="C26" s="3">
        <v>80</v>
      </c>
      <c r="D26" s="1">
        <v>150</v>
      </c>
    </row>
    <row r="27" spans="1:6" x14ac:dyDescent="0.4">
      <c r="A27" s="1">
        <v>6</v>
      </c>
      <c r="B27" s="1" t="s">
        <v>26</v>
      </c>
      <c r="C27" s="3">
        <v>20</v>
      </c>
      <c r="D27" s="1">
        <v>200</v>
      </c>
    </row>
    <row r="28" spans="1:6" x14ac:dyDescent="0.4">
      <c r="A28" s="1">
        <v>7</v>
      </c>
      <c r="B28" s="1" t="s">
        <v>25</v>
      </c>
      <c r="C28" s="3">
        <v>20</v>
      </c>
      <c r="D28" s="1">
        <v>100</v>
      </c>
    </row>
    <row r="29" spans="1:6" x14ac:dyDescent="0.4">
      <c r="A29" s="1">
        <v>8</v>
      </c>
      <c r="B29" s="1" t="s">
        <v>23</v>
      </c>
      <c r="C29" s="3" t="s">
        <v>36</v>
      </c>
      <c r="D29" s="1">
        <v>0</v>
      </c>
    </row>
    <row r="30" spans="1:6" x14ac:dyDescent="0.4">
      <c r="A30" s="1">
        <v>9</v>
      </c>
      <c r="B30" s="1" t="s">
        <v>29</v>
      </c>
      <c r="C30" s="3">
        <v>50</v>
      </c>
      <c r="D30" s="1">
        <v>250</v>
      </c>
    </row>
    <row r="31" spans="1:6" x14ac:dyDescent="0.4">
      <c r="A31" s="1">
        <v>10</v>
      </c>
      <c r="B31" s="1" t="s">
        <v>47</v>
      </c>
      <c r="C31" s="3">
        <v>100</v>
      </c>
      <c r="D31" s="1">
        <v>300</v>
      </c>
    </row>
    <row r="32" spans="1:6" x14ac:dyDescent="0.4">
      <c r="A32" s="1">
        <v>11</v>
      </c>
      <c r="B32" s="1" t="s">
        <v>39</v>
      </c>
      <c r="C32" s="3" t="s">
        <v>49</v>
      </c>
      <c r="D32" s="1">
        <v>1400</v>
      </c>
    </row>
    <row r="33" spans="1:4" x14ac:dyDescent="0.4">
      <c r="A33" s="1">
        <v>12</v>
      </c>
      <c r="B33" s="1" t="s">
        <v>30</v>
      </c>
      <c r="C33" s="3">
        <v>0</v>
      </c>
      <c r="D33" s="1">
        <v>100</v>
      </c>
    </row>
    <row r="34" spans="1:4" x14ac:dyDescent="0.4">
      <c r="A34" s="1">
        <v>13</v>
      </c>
      <c r="B34" s="1" t="s">
        <v>31</v>
      </c>
      <c r="C34" s="3" t="s">
        <v>48</v>
      </c>
      <c r="D34" s="1">
        <v>1500</v>
      </c>
    </row>
    <row r="35" spans="1:4" x14ac:dyDescent="0.4">
      <c r="A35" s="1">
        <v>14</v>
      </c>
      <c r="B35" s="1" t="s">
        <v>12</v>
      </c>
      <c r="C35" s="3" t="s">
        <v>38</v>
      </c>
      <c r="D35" s="1">
        <v>500</v>
      </c>
    </row>
    <row r="36" spans="1:4" x14ac:dyDescent="0.4">
      <c r="A36" s="1">
        <v>15</v>
      </c>
      <c r="B36" s="1" t="s">
        <v>32</v>
      </c>
      <c r="D36" s="1">
        <v>20</v>
      </c>
    </row>
    <row r="37" spans="1:4" x14ac:dyDescent="0.4">
      <c r="A37" s="1">
        <v>16</v>
      </c>
      <c r="B37" s="1" t="s">
        <v>41</v>
      </c>
      <c r="C37" s="3" t="s">
        <v>40</v>
      </c>
      <c r="D37" s="1">
        <v>1300</v>
      </c>
    </row>
    <row r="38" spans="1:4" x14ac:dyDescent="0.4">
      <c r="A38" s="1">
        <v>17</v>
      </c>
      <c r="B38" s="1" t="s">
        <v>42</v>
      </c>
      <c r="C38" s="3" t="s">
        <v>49</v>
      </c>
      <c r="D38" s="1">
        <v>130</v>
      </c>
    </row>
    <row r="39" spans="1:4" x14ac:dyDescent="0.4">
      <c r="A39" s="1">
        <v>18</v>
      </c>
      <c r="B39" s="1" t="s">
        <v>43</v>
      </c>
      <c r="C39" s="3" t="s">
        <v>50</v>
      </c>
      <c r="D39" s="1">
        <v>80</v>
      </c>
    </row>
    <row r="40" spans="1:4" x14ac:dyDescent="0.4">
      <c r="A40" s="1">
        <v>19</v>
      </c>
      <c r="B40" s="1" t="s">
        <v>45</v>
      </c>
      <c r="D40" s="1">
        <v>2500</v>
      </c>
    </row>
    <row r="41" spans="1:4" x14ac:dyDescent="0.4">
      <c r="C41" s="3" t="s">
        <v>83</v>
      </c>
      <c r="D41" s="1">
        <f>SUM(D22:D40)</f>
        <v>13940</v>
      </c>
    </row>
    <row r="42" spans="1:4" x14ac:dyDescent="0.4">
      <c r="C42" s="3" t="s">
        <v>84</v>
      </c>
      <c r="D42" s="1">
        <f>D41*30%</f>
        <v>4182</v>
      </c>
    </row>
    <row r="43" spans="1:4" x14ac:dyDescent="0.4">
      <c r="C43" s="3" t="s">
        <v>87</v>
      </c>
      <c r="D43" s="1">
        <f>D41+D42</f>
        <v>18122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밀키트전골곱창부자재정리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길호 곽</cp:lastModifiedBy>
  <dcterms:created xsi:type="dcterms:W3CDTF">2024-10-14T06:39:07Z</dcterms:created>
  <dcterms:modified xsi:type="dcterms:W3CDTF">2026-04-15T09:05:35Z</dcterms:modified>
</cp:coreProperties>
</file>